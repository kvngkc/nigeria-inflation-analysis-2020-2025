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14\Documents\"/>
    </mc:Choice>
  </mc:AlternateContent>
  <xr:revisionPtr revIDLastSave="0" documentId="13_ncr:1_{821CF61E-DD99-490A-8C3C-A29D0937D989}" xr6:coauthVersionLast="47" xr6:coauthVersionMax="47" xr10:uidLastSave="{00000000-0000-0000-0000-000000000000}"/>
  <bookViews>
    <workbookView xWindow="-120" yWindow="-120" windowWidth="20730" windowHeight="11760" xr2:uid="{C029EE67-67D5-4498-90B3-7BD84429D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3" i="1"/>
  <c r="J3" i="1" s="1"/>
  <c r="I3" i="1"/>
  <c r="H3" i="1"/>
  <c r="J2" i="1"/>
</calcChain>
</file>

<file path=xl/sharedStrings.xml><?xml version="1.0" encoding="utf-8"?>
<sst xmlns="http://schemas.openxmlformats.org/spreadsheetml/2006/main" count="12" uniqueCount="12">
  <si>
    <t>Headline Inflation (%)</t>
  </si>
  <si>
    <t>Food Inflation (%)</t>
  </si>
  <si>
    <t>Core Inflation (%)</t>
  </si>
  <si>
    <t>CrudeOilPrice ($)</t>
  </si>
  <si>
    <t>NGN/USD Exchange Rate</t>
  </si>
  <si>
    <t>Date</t>
  </si>
  <si>
    <t>Food Basket (₦)</t>
  </si>
  <si>
    <t>Transport Basket (₦)</t>
  </si>
  <si>
    <t>Energy Basket (₦)</t>
  </si>
  <si>
    <t>Total Basket (₦)</t>
  </si>
  <si>
    <t>Cummulative % Increase</t>
  </si>
  <si>
    <t>Purchasing Power Loss (₦)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</si>
</sst>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0" fillId="0" borderId="0" xfId="0" applyNumberFormat="1" applyFon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E566-AD26-4A7F-A5A0-B748BB836FCE}">
  <dimension ref="A1:L73"/>
  <sheetViews>
    <sheetView tabSelected="1" topLeftCell="C1" zoomScaleNormal="100" workbookViewId="0">
      <selection activeCell="G12" sqref="G12"/>
    </sheetView>
  </sheetViews>
  <sheetFormatPr defaultRowHeight="15" x14ac:dyDescent="0.25"/>
  <cols>
    <col min="1" max="1" width="11.28515625" style="1" bestFit="1" customWidth="1"/>
    <col min="2" max="2" width="20.42578125" bestFit="1" customWidth="1"/>
    <col min="3" max="3" width="16.85546875" bestFit="1" customWidth="1"/>
    <col min="4" max="4" width="16.42578125" bestFit="1" customWidth="1"/>
    <col min="5" max="5" width="16.140625" bestFit="1" customWidth="1"/>
    <col min="6" max="6" width="22.85546875" bestFit="1" customWidth="1"/>
    <col min="7" max="7" width="15.140625" style="2" customWidth="1"/>
    <col min="8" max="8" width="19.140625" style="2" bestFit="1" customWidth="1"/>
    <col min="9" max="9" width="16.140625" style="2" bestFit="1" customWidth="1"/>
    <col min="10" max="10" width="14.85546875" style="2" bestFit="1" customWidth="1"/>
    <col min="11" max="11" width="23" bestFit="1" customWidth="1"/>
    <col min="12" max="12" width="24.7109375" bestFit="1" customWidth="1"/>
  </cols>
  <sheetData>
    <row r="1" spans="1:12" s="4" customFormat="1" x14ac:dyDescent="0.25">
      <c r="A1" s="3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t="s">
        <v>11</v>
      </c>
    </row>
    <row r="2" spans="1:12" x14ac:dyDescent="0.25">
      <c r="A2" s="1">
        <v>43831</v>
      </c>
      <c r="B2">
        <v>12.13</v>
      </c>
      <c r="C2">
        <v>14.85</v>
      </c>
      <c r="D2">
        <v>9.81</v>
      </c>
      <c r="E2">
        <v>66.680000000000007</v>
      </c>
      <c r="F2">
        <v>306.45999999999998</v>
      </c>
      <c r="G2" s="2">
        <v>30000</v>
      </c>
      <c r="H2" s="2">
        <v>10000</v>
      </c>
      <c r="I2" s="2">
        <v>5000</v>
      </c>
      <c r="J2" s="2">
        <f>SUM(G2:I2)</f>
        <v>45000</v>
      </c>
      <c r="K2">
        <f>(J2-45000)/45000*100</f>
        <v>0</v>
      </c>
      <c r="L2" s="2">
        <f>J2-45000</f>
        <v>0</v>
      </c>
    </row>
    <row r="3" spans="1:12" x14ac:dyDescent="0.25">
      <c r="A3" s="1">
        <v>43862</v>
      </c>
      <c r="B3">
        <v>12.2</v>
      </c>
      <c r="C3">
        <v>14.9</v>
      </c>
      <c r="D3">
        <v>9.9499999999999993</v>
      </c>
      <c r="E3">
        <v>58.45</v>
      </c>
      <c r="F3">
        <v>306.45999999999998</v>
      </c>
      <c r="G3" s="2">
        <f>G2*(1+(C2/100/12))</f>
        <v>30371.25</v>
      </c>
      <c r="H3" s="2">
        <f>H2*(1+(B2/100/12))</f>
        <v>10101.083333333334</v>
      </c>
      <c r="I3" s="2">
        <f>I2*(1+(B2/100/12))</f>
        <v>5050.541666666667</v>
      </c>
      <c r="J3" s="2">
        <f>SUM(G3:I3)</f>
        <v>45522.875</v>
      </c>
      <c r="K3">
        <f t="shared" ref="K3:K66" si="0">(J3-45000)/45000*100</f>
        <v>1.1619444444444444</v>
      </c>
      <c r="L3" s="2">
        <f t="shared" ref="L3:L66" si="1">J3-45000</f>
        <v>522.875</v>
      </c>
    </row>
    <row r="4" spans="1:12" x14ac:dyDescent="0.25">
      <c r="A4" s="1">
        <v>43891</v>
      </c>
      <c r="B4">
        <v>12.26</v>
      </c>
      <c r="C4">
        <v>14.98</v>
      </c>
      <c r="D4">
        <v>10.220000000000001</v>
      </c>
      <c r="E4">
        <v>32.29</v>
      </c>
      <c r="F4">
        <v>327.06</v>
      </c>
      <c r="G4" s="2">
        <f t="shared" ref="G4:G67" si="2">G3*(1+(C3/100/12))</f>
        <v>30748.359687500004</v>
      </c>
      <c r="H4" s="2">
        <f t="shared" ref="H4:H67" si="3">H3*(1+(B3/100/12))</f>
        <v>10203.777680555557</v>
      </c>
      <c r="I4" s="2">
        <f t="shared" ref="I4:I67" si="4">I3*(1+(B3/100/12))</f>
        <v>5101.8888402777784</v>
      </c>
      <c r="J4" s="2">
        <f t="shared" ref="J4:J67" si="5">SUM(G4:I4)</f>
        <v>46054.026208333344</v>
      </c>
      <c r="K4">
        <f t="shared" si="0"/>
        <v>2.3422804629629859</v>
      </c>
      <c r="L4" s="2">
        <f t="shared" si="1"/>
        <v>1054.0262083333437</v>
      </c>
    </row>
    <row r="5" spans="1:12" x14ac:dyDescent="0.25">
      <c r="A5" s="1">
        <v>43922</v>
      </c>
      <c r="B5">
        <v>12.34</v>
      </c>
      <c r="C5">
        <v>15.03</v>
      </c>
      <c r="D5">
        <v>10.57</v>
      </c>
      <c r="E5">
        <v>14.28</v>
      </c>
      <c r="F5">
        <v>360.5</v>
      </c>
      <c r="G5" s="2">
        <f t="shared" si="2"/>
        <v>31132.201710932299</v>
      </c>
      <c r="H5" s="2">
        <f t="shared" si="3"/>
        <v>10308.026275858567</v>
      </c>
      <c r="I5" s="2">
        <f t="shared" si="4"/>
        <v>5154.0131379292834</v>
      </c>
      <c r="J5" s="2">
        <f t="shared" si="5"/>
        <v>46594.241124720153</v>
      </c>
      <c r="K5">
        <f t="shared" si="0"/>
        <v>3.5427580549336724</v>
      </c>
      <c r="L5" s="2">
        <f t="shared" si="1"/>
        <v>1594.2411247201526</v>
      </c>
    </row>
    <row r="6" spans="1:12" x14ac:dyDescent="0.25">
      <c r="A6" s="1">
        <v>43952</v>
      </c>
      <c r="B6">
        <v>12.4</v>
      </c>
      <c r="C6">
        <v>15.04</v>
      </c>
      <c r="D6">
        <v>10.7</v>
      </c>
      <c r="E6">
        <v>27.9</v>
      </c>
      <c r="F6">
        <v>360.5</v>
      </c>
      <c r="G6" s="2">
        <f t="shared" si="2"/>
        <v>31522.132537361722</v>
      </c>
      <c r="H6" s="2">
        <f t="shared" si="3"/>
        <v>10414.027146061981</v>
      </c>
      <c r="I6" s="2">
        <f t="shared" si="4"/>
        <v>5207.0135730309903</v>
      </c>
      <c r="J6" s="2">
        <f t="shared" si="5"/>
        <v>47143.173256454691</v>
      </c>
      <c r="K6">
        <f t="shared" si="0"/>
        <v>4.7626072365659802</v>
      </c>
      <c r="L6" s="2">
        <f t="shared" si="1"/>
        <v>2143.173256454691</v>
      </c>
    </row>
    <row r="7" spans="1:12" x14ac:dyDescent="0.25">
      <c r="A7" s="1">
        <v>43983</v>
      </c>
      <c r="B7">
        <v>12.56</v>
      </c>
      <c r="C7">
        <v>15.18</v>
      </c>
      <c r="D7">
        <v>10.57</v>
      </c>
      <c r="E7">
        <v>40.299999999999997</v>
      </c>
      <c r="F7">
        <v>360.5</v>
      </c>
      <c r="G7" s="2">
        <f t="shared" si="2"/>
        <v>31917.209931829988</v>
      </c>
      <c r="H7" s="2">
        <f t="shared" si="3"/>
        <v>10521.638759904621</v>
      </c>
      <c r="I7" s="2">
        <f t="shared" si="4"/>
        <v>5260.8193799523106</v>
      </c>
      <c r="J7" s="2">
        <f t="shared" si="5"/>
        <v>47699.668071686916</v>
      </c>
      <c r="K7">
        <f t="shared" si="0"/>
        <v>5.9992623815264805</v>
      </c>
      <c r="L7" s="2">
        <f t="shared" si="1"/>
        <v>2699.6680716869159</v>
      </c>
    </row>
    <row r="8" spans="1:12" x14ac:dyDescent="0.25">
      <c r="A8" s="1">
        <v>44013</v>
      </c>
      <c r="B8">
        <v>12.82</v>
      </c>
      <c r="C8">
        <v>15.48</v>
      </c>
      <c r="D8">
        <v>10.64</v>
      </c>
      <c r="E8">
        <v>44.1</v>
      </c>
      <c r="F8">
        <v>360.5</v>
      </c>
      <c r="G8" s="2">
        <f t="shared" si="2"/>
        <v>32320.962637467637</v>
      </c>
      <c r="H8" s="2">
        <f t="shared" si="3"/>
        <v>10631.765245591623</v>
      </c>
      <c r="I8" s="2">
        <f t="shared" si="4"/>
        <v>5315.8826227958116</v>
      </c>
      <c r="J8" s="2">
        <f t="shared" si="5"/>
        <v>48268.610505855075</v>
      </c>
      <c r="K8">
        <f t="shared" si="0"/>
        <v>7.2635789019001669</v>
      </c>
      <c r="L8" s="2">
        <f t="shared" si="1"/>
        <v>3268.6105058550747</v>
      </c>
    </row>
    <row r="9" spans="1:12" x14ac:dyDescent="0.25">
      <c r="A9" s="1">
        <v>44044</v>
      </c>
      <c r="B9">
        <v>13.22</v>
      </c>
      <c r="C9">
        <v>16</v>
      </c>
      <c r="D9">
        <v>11.07</v>
      </c>
      <c r="E9">
        <v>45.06</v>
      </c>
      <c r="F9">
        <v>376.79</v>
      </c>
      <c r="G9" s="2">
        <f t="shared" si="2"/>
        <v>32737.903055490966</v>
      </c>
      <c r="H9" s="2">
        <f t="shared" si="3"/>
        <v>10745.347937632028</v>
      </c>
      <c r="I9" s="2">
        <f t="shared" si="4"/>
        <v>5372.6739688160142</v>
      </c>
      <c r="J9" s="2">
        <f t="shared" si="5"/>
        <v>48855.92496193901</v>
      </c>
      <c r="K9">
        <f t="shared" si="0"/>
        <v>8.5687221376422453</v>
      </c>
      <c r="L9" s="2">
        <f t="shared" si="1"/>
        <v>3855.9249619390102</v>
      </c>
    </row>
    <row r="10" spans="1:12" x14ac:dyDescent="0.25">
      <c r="A10" s="1">
        <v>44075</v>
      </c>
      <c r="B10">
        <v>13.71</v>
      </c>
      <c r="C10">
        <v>16.66</v>
      </c>
      <c r="D10">
        <v>11.16</v>
      </c>
      <c r="E10">
        <v>40.85</v>
      </c>
      <c r="F10">
        <v>379.5</v>
      </c>
      <c r="G10" s="2">
        <f t="shared" si="2"/>
        <v>33174.408429564181</v>
      </c>
      <c r="H10" s="2">
        <f t="shared" si="3"/>
        <v>10863.725854078275</v>
      </c>
      <c r="I10" s="2">
        <f t="shared" si="4"/>
        <v>5431.8629270391375</v>
      </c>
      <c r="J10" s="2">
        <f t="shared" si="5"/>
        <v>49469.997210681599</v>
      </c>
      <c r="K10">
        <f t="shared" si="0"/>
        <v>9.9333271348479961</v>
      </c>
      <c r="L10" s="2">
        <f t="shared" si="1"/>
        <v>4469.9972106815985</v>
      </c>
    </row>
    <row r="11" spans="1:12" x14ac:dyDescent="0.25">
      <c r="A11" s="1">
        <v>44105</v>
      </c>
      <c r="B11">
        <v>14.23</v>
      </c>
      <c r="C11">
        <v>17.38</v>
      </c>
      <c r="D11">
        <v>11.71</v>
      </c>
      <c r="E11">
        <v>39.74</v>
      </c>
      <c r="F11">
        <v>379.55</v>
      </c>
      <c r="G11" s="2">
        <f t="shared" si="2"/>
        <v>33634.979799927962</v>
      </c>
      <c r="H11" s="2">
        <f t="shared" si="3"/>
        <v>10987.843921961119</v>
      </c>
      <c r="I11" s="2">
        <f t="shared" si="4"/>
        <v>5493.9219609805596</v>
      </c>
      <c r="J11" s="2">
        <f t="shared" si="5"/>
        <v>50116.745682869638</v>
      </c>
      <c r="K11">
        <f t="shared" si="0"/>
        <v>11.370545961932528</v>
      </c>
      <c r="L11" s="2">
        <f t="shared" si="1"/>
        <v>5116.7456828696377</v>
      </c>
    </row>
    <row r="12" spans="1:12" x14ac:dyDescent="0.25">
      <c r="A12" s="1">
        <v>44136</v>
      </c>
      <c r="B12">
        <v>14.89</v>
      </c>
      <c r="C12">
        <v>18.3</v>
      </c>
      <c r="D12">
        <v>11.6</v>
      </c>
      <c r="E12">
        <v>42.7</v>
      </c>
      <c r="F12">
        <v>379.5</v>
      </c>
      <c r="G12" s="2">
        <f t="shared" si="2"/>
        <v>34122.126424030255</v>
      </c>
      <c r="H12" s="2">
        <f t="shared" si="3"/>
        <v>11118.141437802375</v>
      </c>
      <c r="I12" s="2">
        <f t="shared" si="4"/>
        <v>5559.0707189011873</v>
      </c>
      <c r="J12" s="2">
        <f t="shared" si="5"/>
        <v>50799.33858073382</v>
      </c>
      <c r="K12">
        <f t="shared" si="0"/>
        <v>12.88741906829738</v>
      </c>
      <c r="L12" s="2">
        <f t="shared" si="1"/>
        <v>5799.33858073382</v>
      </c>
    </row>
    <row r="13" spans="1:12" x14ac:dyDescent="0.25">
      <c r="A13" s="1">
        <v>44166</v>
      </c>
      <c r="B13">
        <v>15.75</v>
      </c>
      <c r="C13">
        <v>19.559999999999999</v>
      </c>
      <c r="D13">
        <v>11.83</v>
      </c>
      <c r="E13">
        <v>50.33</v>
      </c>
      <c r="F13">
        <v>379.5</v>
      </c>
      <c r="G13" s="2">
        <f t="shared" si="2"/>
        <v>34642.488851996713</v>
      </c>
      <c r="H13" s="2">
        <f t="shared" si="3"/>
        <v>11256.099042809772</v>
      </c>
      <c r="I13" s="2">
        <f t="shared" si="4"/>
        <v>5628.049521404886</v>
      </c>
      <c r="J13" s="2">
        <f t="shared" si="5"/>
        <v>51526.637416211372</v>
      </c>
      <c r="K13">
        <f t="shared" si="0"/>
        <v>14.503638702691937</v>
      </c>
      <c r="L13" s="2">
        <f t="shared" si="1"/>
        <v>6526.6374162113716</v>
      </c>
    </row>
    <row r="14" spans="1:12" x14ac:dyDescent="0.25">
      <c r="A14" s="1">
        <v>44197</v>
      </c>
      <c r="B14">
        <v>16.47</v>
      </c>
      <c r="C14">
        <v>20.57</v>
      </c>
      <c r="D14">
        <v>12.5</v>
      </c>
      <c r="E14">
        <v>54.87</v>
      </c>
      <c r="F14">
        <v>379.5</v>
      </c>
      <c r="G14" s="2">
        <f t="shared" si="2"/>
        <v>35207.161420284261</v>
      </c>
      <c r="H14" s="2">
        <f t="shared" si="3"/>
        <v>11403.835342746652</v>
      </c>
      <c r="I14" s="2">
        <f t="shared" si="4"/>
        <v>5701.9176713733259</v>
      </c>
      <c r="J14" s="2">
        <f t="shared" si="5"/>
        <v>52312.914434404236</v>
      </c>
      <c r="K14">
        <f t="shared" si="0"/>
        <v>16.250920965342747</v>
      </c>
      <c r="L14" s="2">
        <f t="shared" si="1"/>
        <v>7312.9144344042361</v>
      </c>
    </row>
    <row r="15" spans="1:12" x14ac:dyDescent="0.25">
      <c r="A15" s="1">
        <v>44228</v>
      </c>
      <c r="B15">
        <v>17.329999999999998</v>
      </c>
      <c r="C15">
        <v>21.79</v>
      </c>
      <c r="D15">
        <v>12.98</v>
      </c>
      <c r="E15">
        <v>62.48</v>
      </c>
      <c r="F15">
        <v>379.5</v>
      </c>
      <c r="G15" s="2">
        <f t="shared" si="2"/>
        <v>35810.670845630295</v>
      </c>
      <c r="H15" s="2">
        <f t="shared" si="3"/>
        <v>11560.352982825849</v>
      </c>
      <c r="I15" s="2">
        <f t="shared" si="4"/>
        <v>5780.1764914129244</v>
      </c>
      <c r="J15" s="2">
        <f t="shared" si="5"/>
        <v>53151.200319869065</v>
      </c>
      <c r="K15">
        <f t="shared" si="0"/>
        <v>18.113778488597923</v>
      </c>
      <c r="L15" s="2">
        <f t="shared" si="1"/>
        <v>8151.2003198690654</v>
      </c>
    </row>
    <row r="16" spans="1:12" x14ac:dyDescent="0.25">
      <c r="A16" s="1">
        <v>44256</v>
      </c>
      <c r="B16">
        <v>18.170000000000002</v>
      </c>
      <c r="C16">
        <v>22.95</v>
      </c>
      <c r="D16">
        <v>13.22</v>
      </c>
      <c r="E16">
        <v>65.62</v>
      </c>
      <c r="F16">
        <v>379.5</v>
      </c>
      <c r="G16" s="2">
        <f t="shared" si="2"/>
        <v>36460.932943735526</v>
      </c>
      <c r="H16" s="2">
        <f t="shared" si="3"/>
        <v>11727.303747152826</v>
      </c>
      <c r="I16" s="2">
        <f t="shared" si="4"/>
        <v>5863.651873576413</v>
      </c>
      <c r="J16" s="2">
        <f t="shared" si="5"/>
        <v>54051.888564464767</v>
      </c>
      <c r="K16">
        <f t="shared" si="0"/>
        <v>20.115307921032816</v>
      </c>
      <c r="L16" s="2">
        <f t="shared" si="1"/>
        <v>9051.8885644647671</v>
      </c>
    </row>
    <row r="17" spans="1:12" x14ac:dyDescent="0.25">
      <c r="A17" s="1">
        <v>44287</v>
      </c>
      <c r="B17">
        <v>18.12</v>
      </c>
      <c r="C17">
        <v>22.72</v>
      </c>
      <c r="D17">
        <v>13.3</v>
      </c>
      <c r="E17">
        <v>64.3</v>
      </c>
      <c r="F17">
        <v>379.5</v>
      </c>
      <c r="G17" s="2">
        <f t="shared" si="2"/>
        <v>37158.24828628447</v>
      </c>
      <c r="H17" s="2">
        <f t="shared" si="3"/>
        <v>11904.874671390964</v>
      </c>
      <c r="I17" s="2">
        <f t="shared" si="4"/>
        <v>5952.437335695482</v>
      </c>
      <c r="J17" s="2">
        <f t="shared" si="5"/>
        <v>55015.560293370916</v>
      </c>
      <c r="K17">
        <f t="shared" si="0"/>
        <v>22.256800651935368</v>
      </c>
      <c r="L17" s="2">
        <f t="shared" si="1"/>
        <v>10015.560293370916</v>
      </c>
    </row>
    <row r="18" spans="1:12" x14ac:dyDescent="0.25">
      <c r="A18" s="1">
        <v>44317</v>
      </c>
      <c r="B18">
        <v>17.93</v>
      </c>
      <c r="C18">
        <v>22.28</v>
      </c>
      <c r="D18">
        <v>13.76</v>
      </c>
      <c r="E18">
        <v>67.83</v>
      </c>
      <c r="F18">
        <v>397.15</v>
      </c>
      <c r="G18" s="2">
        <f t="shared" si="2"/>
        <v>37861.77778717145</v>
      </c>
      <c r="H18" s="2">
        <f t="shared" si="3"/>
        <v>12084.638278928966</v>
      </c>
      <c r="I18" s="2">
        <f t="shared" si="4"/>
        <v>6042.3191394644828</v>
      </c>
      <c r="J18" s="2">
        <f t="shared" si="5"/>
        <v>55988.735205564895</v>
      </c>
      <c r="K18">
        <f t="shared" si="0"/>
        <v>24.419411567921991</v>
      </c>
      <c r="L18" s="2">
        <f t="shared" si="1"/>
        <v>10988.735205564895</v>
      </c>
    </row>
    <row r="19" spans="1:12" x14ac:dyDescent="0.25">
      <c r="A19" s="1">
        <v>44348</v>
      </c>
      <c r="B19">
        <v>17.75</v>
      </c>
      <c r="C19">
        <v>21.83</v>
      </c>
      <c r="D19">
        <v>13.68</v>
      </c>
      <c r="E19">
        <v>73.459999999999994</v>
      </c>
      <c r="F19">
        <v>409.66</v>
      </c>
      <c r="G19" s="2">
        <f t="shared" si="2"/>
        <v>38564.744794753264</v>
      </c>
      <c r="H19" s="2">
        <f t="shared" si="3"/>
        <v>12265.202915879961</v>
      </c>
      <c r="I19" s="2">
        <f t="shared" si="4"/>
        <v>6132.6014579399807</v>
      </c>
      <c r="J19" s="2">
        <f t="shared" si="5"/>
        <v>56962.549168573205</v>
      </c>
      <c r="K19">
        <f t="shared" si="0"/>
        <v>26.583442596829343</v>
      </c>
      <c r="L19" s="2">
        <f t="shared" si="1"/>
        <v>11962.549168573205</v>
      </c>
    </row>
    <row r="20" spans="1:12" x14ac:dyDescent="0.25">
      <c r="A20" s="1">
        <v>44378</v>
      </c>
      <c r="B20">
        <v>17.38</v>
      </c>
      <c r="C20">
        <v>21.03</v>
      </c>
      <c r="D20">
        <v>14.45</v>
      </c>
      <c r="E20">
        <v>75.930000000000007</v>
      </c>
      <c r="F20">
        <v>409.63</v>
      </c>
      <c r="G20" s="2">
        <f t="shared" si="2"/>
        <v>39266.301777144479</v>
      </c>
      <c r="H20" s="2">
        <f t="shared" si="3"/>
        <v>12446.625709010686</v>
      </c>
      <c r="I20" s="2">
        <f t="shared" si="4"/>
        <v>6223.3128545053432</v>
      </c>
      <c r="J20" s="2">
        <f t="shared" si="5"/>
        <v>57936.240340660508</v>
      </c>
      <c r="K20">
        <f t="shared" si="0"/>
        <v>28.74720075702335</v>
      </c>
      <c r="L20" s="2">
        <f t="shared" si="1"/>
        <v>12936.240340660508</v>
      </c>
    </row>
    <row r="21" spans="1:12" x14ac:dyDescent="0.25">
      <c r="A21" s="1">
        <v>44409</v>
      </c>
      <c r="B21">
        <v>17.010000000000002</v>
      </c>
      <c r="C21">
        <v>20.3</v>
      </c>
      <c r="D21">
        <v>13.98</v>
      </c>
      <c r="E21">
        <v>70.72</v>
      </c>
      <c r="F21">
        <v>409.65</v>
      </c>
      <c r="G21" s="2">
        <f t="shared" si="2"/>
        <v>39954.443715788933</v>
      </c>
      <c r="H21" s="2">
        <f t="shared" si="3"/>
        <v>12626.894338029526</v>
      </c>
      <c r="I21" s="2">
        <f t="shared" si="4"/>
        <v>6313.4471690147629</v>
      </c>
      <c r="J21" s="2">
        <f t="shared" si="5"/>
        <v>58894.785222833219</v>
      </c>
      <c r="K21">
        <f t="shared" si="0"/>
        <v>30.877300495184933</v>
      </c>
      <c r="L21" s="2">
        <f t="shared" si="1"/>
        <v>13894.785222833219</v>
      </c>
    </row>
    <row r="22" spans="1:12" x14ac:dyDescent="0.25">
      <c r="A22" s="1">
        <v>44440</v>
      </c>
      <c r="B22">
        <v>16.63</v>
      </c>
      <c r="C22">
        <v>19.57</v>
      </c>
      <c r="D22">
        <v>14.36</v>
      </c>
      <c r="E22">
        <v>74.55</v>
      </c>
      <c r="F22">
        <v>410.02</v>
      </c>
      <c r="G22" s="2">
        <f t="shared" si="2"/>
        <v>40630.339721981029</v>
      </c>
      <c r="H22" s="2">
        <f t="shared" si="3"/>
        <v>12805.880565271094</v>
      </c>
      <c r="I22" s="2">
        <f t="shared" si="4"/>
        <v>6402.9402826355472</v>
      </c>
      <c r="J22" s="2">
        <f t="shared" si="5"/>
        <v>59839.160569887666</v>
      </c>
      <c r="K22">
        <f t="shared" si="0"/>
        <v>32.975912377528147</v>
      </c>
      <c r="L22" s="2">
        <f t="shared" si="1"/>
        <v>14839.160569887666</v>
      </c>
    </row>
    <row r="23" spans="1:12" x14ac:dyDescent="0.25">
      <c r="A23" s="1">
        <v>44470</v>
      </c>
      <c r="B23">
        <v>15.99</v>
      </c>
      <c r="C23">
        <v>18.34</v>
      </c>
      <c r="D23">
        <v>13.78</v>
      </c>
      <c r="E23">
        <v>84.11</v>
      </c>
      <c r="F23">
        <v>410.41</v>
      </c>
      <c r="G23" s="2">
        <f t="shared" si="2"/>
        <v>41292.952845613669</v>
      </c>
      <c r="H23" s="2">
        <f t="shared" si="3"/>
        <v>12983.348726771475</v>
      </c>
      <c r="I23" s="2">
        <f t="shared" si="4"/>
        <v>6491.6743633857377</v>
      </c>
      <c r="J23" s="2">
        <f t="shared" si="5"/>
        <v>60767.975935770883</v>
      </c>
      <c r="K23">
        <f t="shared" si="0"/>
        <v>35.039946523935292</v>
      </c>
      <c r="L23" s="2">
        <f t="shared" si="1"/>
        <v>15767.975935770883</v>
      </c>
    </row>
    <row r="24" spans="1:12" x14ac:dyDescent="0.25">
      <c r="A24" s="1">
        <v>44501</v>
      </c>
      <c r="B24">
        <v>15.4</v>
      </c>
      <c r="C24">
        <v>17.21</v>
      </c>
      <c r="D24">
        <v>14.41</v>
      </c>
      <c r="E24">
        <v>82.16</v>
      </c>
      <c r="F24">
        <v>410.81</v>
      </c>
      <c r="G24" s="2">
        <f t="shared" si="2"/>
        <v>41924.046808270796</v>
      </c>
      <c r="H24" s="2">
        <f t="shared" si="3"/>
        <v>13156.351848555705</v>
      </c>
      <c r="I24" s="2">
        <f t="shared" si="4"/>
        <v>6578.1759242778526</v>
      </c>
      <c r="J24" s="2">
        <f t="shared" si="5"/>
        <v>61658.574581104353</v>
      </c>
      <c r="K24">
        <f t="shared" si="0"/>
        <v>37.019054624676343</v>
      </c>
      <c r="L24" s="2">
        <f t="shared" si="1"/>
        <v>16658.574581104353</v>
      </c>
    </row>
    <row r="25" spans="1:12" x14ac:dyDescent="0.25">
      <c r="A25" s="1">
        <v>44531</v>
      </c>
      <c r="B25">
        <v>15.63</v>
      </c>
      <c r="C25">
        <v>17.37</v>
      </c>
      <c r="D25">
        <v>14.35</v>
      </c>
      <c r="E25">
        <v>65.41</v>
      </c>
      <c r="F25">
        <v>411.13</v>
      </c>
      <c r="G25" s="2">
        <f t="shared" si="2"/>
        <v>42525.307512912746</v>
      </c>
      <c r="H25" s="2">
        <f t="shared" si="3"/>
        <v>13325.191697278835</v>
      </c>
      <c r="I25" s="2">
        <f t="shared" si="4"/>
        <v>6662.5958486394175</v>
      </c>
      <c r="J25" s="2">
        <f t="shared" si="5"/>
        <v>62513.095058831001</v>
      </c>
      <c r="K25">
        <f t="shared" si="0"/>
        <v>38.917989019624443</v>
      </c>
      <c r="L25" s="2">
        <f t="shared" si="1"/>
        <v>17513.095058831001</v>
      </c>
    </row>
    <row r="26" spans="1:12" x14ac:dyDescent="0.25">
      <c r="A26" s="1">
        <v>44562</v>
      </c>
      <c r="B26">
        <v>15.6</v>
      </c>
      <c r="C26">
        <v>17.13</v>
      </c>
      <c r="D26">
        <v>14.16</v>
      </c>
      <c r="E26">
        <v>88.71</v>
      </c>
      <c r="F26">
        <v>414.54</v>
      </c>
      <c r="G26" s="2">
        <f t="shared" si="2"/>
        <v>43140.861339162162</v>
      </c>
      <c r="H26" s="2">
        <f t="shared" si="3"/>
        <v>13498.752319135892</v>
      </c>
      <c r="I26" s="2">
        <f t="shared" si="4"/>
        <v>6749.3761595679462</v>
      </c>
      <c r="J26" s="2">
        <f t="shared" si="5"/>
        <v>63388.989817866001</v>
      </c>
      <c r="K26">
        <f t="shared" si="0"/>
        <v>40.86442181748</v>
      </c>
      <c r="L26" s="2">
        <f t="shared" si="1"/>
        <v>18388.989817866001</v>
      </c>
    </row>
    <row r="27" spans="1:12" x14ac:dyDescent="0.25">
      <c r="A27" s="1">
        <v>44593</v>
      </c>
      <c r="B27">
        <v>15.7</v>
      </c>
      <c r="C27">
        <v>17.11</v>
      </c>
      <c r="D27">
        <v>14.28</v>
      </c>
      <c r="E27">
        <v>99.64</v>
      </c>
      <c r="F27">
        <v>416.15</v>
      </c>
      <c r="G27" s="2">
        <f t="shared" si="2"/>
        <v>43756.697134778704</v>
      </c>
      <c r="H27" s="2">
        <f t="shared" si="3"/>
        <v>13674.236099284657</v>
      </c>
      <c r="I27" s="2">
        <f t="shared" si="4"/>
        <v>6837.1180496423285</v>
      </c>
      <c r="J27" s="2">
        <f t="shared" si="5"/>
        <v>64268.051283705689</v>
      </c>
      <c r="K27">
        <f t="shared" si="0"/>
        <v>42.817891741568197</v>
      </c>
      <c r="L27" s="2">
        <f t="shared" si="1"/>
        <v>19268.051283705689</v>
      </c>
    </row>
    <row r="28" spans="1:12" x14ac:dyDescent="0.25">
      <c r="A28" s="1">
        <v>44621</v>
      </c>
      <c r="B28">
        <v>15.92</v>
      </c>
      <c r="C28">
        <v>17.2</v>
      </c>
      <c r="D28">
        <v>14.05</v>
      </c>
      <c r="E28">
        <v>121.23</v>
      </c>
      <c r="F28">
        <v>415.83</v>
      </c>
      <c r="G28" s="2">
        <f t="shared" si="2"/>
        <v>44380.594708092089</v>
      </c>
      <c r="H28" s="2">
        <f t="shared" si="3"/>
        <v>13853.140688250298</v>
      </c>
      <c r="I28" s="2">
        <f t="shared" si="4"/>
        <v>6926.5703441251489</v>
      </c>
      <c r="J28" s="2">
        <f t="shared" si="5"/>
        <v>65160.305740467535</v>
      </c>
      <c r="K28">
        <f t="shared" si="0"/>
        <v>44.800679423261187</v>
      </c>
      <c r="L28" s="2">
        <f t="shared" si="1"/>
        <v>20160.305740467535</v>
      </c>
    </row>
    <row r="29" spans="1:12" x14ac:dyDescent="0.25">
      <c r="A29" s="1">
        <v>44652</v>
      </c>
      <c r="B29">
        <v>16.82</v>
      </c>
      <c r="C29">
        <v>18.37</v>
      </c>
      <c r="D29">
        <v>14.14</v>
      </c>
      <c r="E29">
        <v>106.51</v>
      </c>
      <c r="F29">
        <v>415.4</v>
      </c>
      <c r="G29" s="2">
        <f t="shared" si="2"/>
        <v>45016.716565574738</v>
      </c>
      <c r="H29" s="2">
        <f t="shared" si="3"/>
        <v>14036.925688047753</v>
      </c>
      <c r="I29" s="2">
        <f t="shared" si="4"/>
        <v>7018.4628440238766</v>
      </c>
      <c r="J29" s="2">
        <f t="shared" si="5"/>
        <v>66072.105097646374</v>
      </c>
      <c r="K29">
        <f t="shared" si="0"/>
        <v>46.826900216991937</v>
      </c>
      <c r="L29" s="2">
        <f t="shared" si="1"/>
        <v>21072.105097646374</v>
      </c>
    </row>
    <row r="30" spans="1:12" x14ac:dyDescent="0.25">
      <c r="A30" s="1">
        <v>44682</v>
      </c>
      <c r="B30">
        <v>17.71</v>
      </c>
      <c r="C30">
        <v>19.5</v>
      </c>
      <c r="D30">
        <v>14.84</v>
      </c>
      <c r="E30">
        <v>116.72</v>
      </c>
      <c r="F30">
        <v>415.08</v>
      </c>
      <c r="G30" s="2">
        <f t="shared" si="2"/>
        <v>45705.847468332744</v>
      </c>
      <c r="H30" s="2">
        <f t="shared" si="3"/>
        <v>14233.676596441888</v>
      </c>
      <c r="I30" s="2">
        <f t="shared" si="4"/>
        <v>7116.8382982209441</v>
      </c>
      <c r="J30" s="2">
        <f t="shared" si="5"/>
        <v>67056.362362995569</v>
      </c>
      <c r="K30">
        <f t="shared" si="0"/>
        <v>49.014138584434598</v>
      </c>
      <c r="L30" s="2">
        <f t="shared" si="1"/>
        <v>22056.362362995569</v>
      </c>
    </row>
    <row r="31" spans="1:12" x14ac:dyDescent="0.25">
      <c r="A31" s="1">
        <v>44713</v>
      </c>
      <c r="B31">
        <v>18.600000000000001</v>
      </c>
      <c r="C31">
        <v>20.6</v>
      </c>
      <c r="D31">
        <v>15.7</v>
      </c>
      <c r="E31">
        <v>130.1</v>
      </c>
      <c r="F31">
        <v>415.02</v>
      </c>
      <c r="G31" s="2">
        <f t="shared" si="2"/>
        <v>46448.567489693152</v>
      </c>
      <c r="H31" s="2">
        <f t="shared" si="3"/>
        <v>14443.741940211044</v>
      </c>
      <c r="I31" s="2">
        <f t="shared" si="4"/>
        <v>7221.8709701055222</v>
      </c>
      <c r="J31" s="2">
        <f t="shared" si="5"/>
        <v>68114.180400009718</v>
      </c>
      <c r="K31">
        <f t="shared" si="0"/>
        <v>51.364845333354921</v>
      </c>
      <c r="L31" s="2">
        <f t="shared" si="1"/>
        <v>23114.180400009718</v>
      </c>
    </row>
    <row r="32" spans="1:12" x14ac:dyDescent="0.25">
      <c r="A32" s="1">
        <v>44743</v>
      </c>
      <c r="B32">
        <v>19.64</v>
      </c>
      <c r="C32">
        <v>22.02</v>
      </c>
      <c r="D32">
        <v>16.059999999999999</v>
      </c>
      <c r="E32">
        <v>120.54</v>
      </c>
      <c r="F32">
        <v>415.11</v>
      </c>
      <c r="G32" s="2">
        <f t="shared" si="2"/>
        <v>47245.93456493289</v>
      </c>
      <c r="H32" s="2">
        <f t="shared" si="3"/>
        <v>14667.619940284316</v>
      </c>
      <c r="I32" s="2">
        <f t="shared" si="4"/>
        <v>7333.8099701421579</v>
      </c>
      <c r="J32" s="2">
        <f t="shared" si="5"/>
        <v>69247.364475359369</v>
      </c>
      <c r="K32">
        <f t="shared" si="0"/>
        <v>53.883032167465259</v>
      </c>
      <c r="L32" s="2">
        <f t="shared" si="1"/>
        <v>24247.364475359369</v>
      </c>
    </row>
    <row r="33" spans="1:12" x14ac:dyDescent="0.25">
      <c r="A33" s="1">
        <v>44774</v>
      </c>
      <c r="B33">
        <v>20.52</v>
      </c>
      <c r="C33">
        <v>23.12</v>
      </c>
      <c r="D33">
        <v>17.12</v>
      </c>
      <c r="E33">
        <v>106.34</v>
      </c>
      <c r="F33">
        <v>419.97</v>
      </c>
      <c r="G33" s="2">
        <f t="shared" si="2"/>
        <v>48112.897464199414</v>
      </c>
      <c r="H33" s="2">
        <f t="shared" si="3"/>
        <v>14907.679986640302</v>
      </c>
      <c r="I33" s="2">
        <f t="shared" si="4"/>
        <v>7453.8399933201508</v>
      </c>
      <c r="J33" s="2">
        <f t="shared" si="5"/>
        <v>70474.417444159859</v>
      </c>
      <c r="K33">
        <f t="shared" si="0"/>
        <v>56.609816542577462</v>
      </c>
      <c r="L33" s="2">
        <f t="shared" si="1"/>
        <v>25474.417444159859</v>
      </c>
    </row>
    <row r="34" spans="1:12" x14ac:dyDescent="0.25">
      <c r="A34" s="1">
        <v>44805</v>
      </c>
      <c r="B34">
        <v>20.77</v>
      </c>
      <c r="C34">
        <v>23.34</v>
      </c>
      <c r="D34">
        <v>17.489999999999998</v>
      </c>
      <c r="E34">
        <v>93.25</v>
      </c>
      <c r="F34">
        <v>428.75</v>
      </c>
      <c r="G34" s="2">
        <f t="shared" si="2"/>
        <v>49039.872622009658</v>
      </c>
      <c r="H34" s="2">
        <f t="shared" si="3"/>
        <v>15162.60131441185</v>
      </c>
      <c r="I34" s="2">
        <f t="shared" si="4"/>
        <v>7581.3006572059248</v>
      </c>
      <c r="J34" s="2">
        <f t="shared" si="5"/>
        <v>71783.77459362743</v>
      </c>
      <c r="K34">
        <f t="shared" si="0"/>
        <v>59.519499096949843</v>
      </c>
      <c r="L34" s="2">
        <f t="shared" si="1"/>
        <v>26783.77459362743</v>
      </c>
    </row>
    <row r="35" spans="1:12" x14ac:dyDescent="0.25">
      <c r="A35" s="1">
        <v>44835</v>
      </c>
      <c r="B35">
        <v>21.09</v>
      </c>
      <c r="C35">
        <v>23.72</v>
      </c>
      <c r="D35">
        <v>17.46</v>
      </c>
      <c r="E35">
        <v>96.57</v>
      </c>
      <c r="F35">
        <v>436.12</v>
      </c>
      <c r="G35" s="2">
        <f t="shared" si="2"/>
        <v>49993.698144507747</v>
      </c>
      <c r="H35" s="2">
        <f t="shared" si="3"/>
        <v>15425.040672162128</v>
      </c>
      <c r="I35" s="2">
        <f t="shared" si="4"/>
        <v>7712.5203360810638</v>
      </c>
      <c r="J35" s="2">
        <f t="shared" si="5"/>
        <v>73131.259152750936</v>
      </c>
      <c r="K35">
        <f t="shared" si="0"/>
        <v>62.513909228335422</v>
      </c>
      <c r="L35" s="2">
        <f t="shared" si="1"/>
        <v>28131.259152750936</v>
      </c>
    </row>
    <row r="36" spans="1:12" x14ac:dyDescent="0.25">
      <c r="A36" s="1">
        <v>44866</v>
      </c>
      <c r="B36">
        <v>21.47</v>
      </c>
      <c r="C36">
        <v>24.13</v>
      </c>
      <c r="D36">
        <v>17.989999999999998</v>
      </c>
      <c r="E36">
        <v>93.36</v>
      </c>
      <c r="F36">
        <v>441.88</v>
      </c>
      <c r="G36" s="2">
        <f t="shared" si="2"/>
        <v>50981.906911164187</v>
      </c>
      <c r="H36" s="2">
        <f t="shared" si="3"/>
        <v>15696.135761975374</v>
      </c>
      <c r="I36" s="2">
        <f t="shared" si="4"/>
        <v>7848.0678809876872</v>
      </c>
      <c r="J36" s="2">
        <f t="shared" si="5"/>
        <v>74526.110554127241</v>
      </c>
      <c r="K36">
        <f t="shared" si="0"/>
        <v>65.613579009171659</v>
      </c>
      <c r="L36" s="2">
        <f t="shared" si="1"/>
        <v>29526.110554127241</v>
      </c>
    </row>
    <row r="37" spans="1:12" x14ac:dyDescent="0.25">
      <c r="A37" s="1">
        <v>44896</v>
      </c>
      <c r="B37">
        <v>21.34</v>
      </c>
      <c r="C37">
        <v>23.75</v>
      </c>
      <c r="D37">
        <v>18.21</v>
      </c>
      <c r="E37">
        <v>82.5</v>
      </c>
      <c r="F37">
        <v>445.97</v>
      </c>
      <c r="G37" s="2">
        <f t="shared" si="2"/>
        <v>52007.068089302848</v>
      </c>
      <c r="H37" s="2">
        <f t="shared" si="3"/>
        <v>15976.965790983384</v>
      </c>
      <c r="I37" s="2">
        <f t="shared" si="4"/>
        <v>7988.482895491692</v>
      </c>
      <c r="J37" s="2">
        <f t="shared" si="5"/>
        <v>75972.516775777927</v>
      </c>
      <c r="K37">
        <f t="shared" si="0"/>
        <v>68.827815057284283</v>
      </c>
      <c r="L37" s="2">
        <f t="shared" si="1"/>
        <v>30972.516775777927</v>
      </c>
    </row>
    <row r="38" spans="1:12" x14ac:dyDescent="0.25">
      <c r="A38" s="1">
        <v>44927</v>
      </c>
      <c r="B38">
        <v>21.82</v>
      </c>
      <c r="C38">
        <v>24.32</v>
      </c>
      <c r="D38">
        <v>18.88</v>
      </c>
      <c r="E38">
        <v>84.78</v>
      </c>
      <c r="F38">
        <v>454.97</v>
      </c>
      <c r="G38" s="2">
        <f t="shared" si="2"/>
        <v>53036.374645236967</v>
      </c>
      <c r="H38" s="2">
        <f t="shared" si="3"/>
        <v>16261.089499299704</v>
      </c>
      <c r="I38" s="2">
        <f t="shared" si="4"/>
        <v>8130.5447496498518</v>
      </c>
      <c r="J38" s="2">
        <f t="shared" si="5"/>
        <v>77428.008894186525</v>
      </c>
      <c r="K38">
        <f t="shared" si="0"/>
        <v>72.062241987081165</v>
      </c>
      <c r="L38" s="2">
        <f t="shared" si="1"/>
        <v>32428.008894186525</v>
      </c>
    </row>
    <row r="39" spans="1:12" x14ac:dyDescent="0.25">
      <c r="A39" s="1">
        <v>44958</v>
      </c>
      <c r="B39">
        <v>21.91</v>
      </c>
      <c r="C39">
        <v>24.35</v>
      </c>
      <c r="D39">
        <v>18.37</v>
      </c>
      <c r="E39">
        <v>86.04</v>
      </c>
      <c r="F39">
        <v>460.43</v>
      </c>
      <c r="G39" s="2">
        <f t="shared" si="2"/>
        <v>54111.245171380433</v>
      </c>
      <c r="H39" s="2">
        <f t="shared" si="3"/>
        <v>16556.770310028638</v>
      </c>
      <c r="I39" s="2">
        <f t="shared" si="4"/>
        <v>8278.385155014319</v>
      </c>
      <c r="J39" s="2">
        <f t="shared" si="5"/>
        <v>78946.400636423379</v>
      </c>
      <c r="K39">
        <f t="shared" si="0"/>
        <v>75.436445858718628</v>
      </c>
      <c r="L39" s="2">
        <f t="shared" si="1"/>
        <v>33946.400636423379</v>
      </c>
    </row>
    <row r="40" spans="1:12" x14ac:dyDescent="0.25">
      <c r="A40" s="1">
        <v>44986</v>
      </c>
      <c r="B40">
        <v>22.04</v>
      </c>
      <c r="C40">
        <v>24.45</v>
      </c>
      <c r="D40">
        <v>19.63</v>
      </c>
      <c r="E40">
        <v>81.099999999999994</v>
      </c>
      <c r="F40">
        <v>460.43</v>
      </c>
      <c r="G40" s="2">
        <f t="shared" si="2"/>
        <v>55209.252521316361</v>
      </c>
      <c r="H40" s="2">
        <f t="shared" si="3"/>
        <v>16859.069341272578</v>
      </c>
      <c r="I40" s="2">
        <f t="shared" si="4"/>
        <v>8429.5346706362889</v>
      </c>
      <c r="J40" s="2">
        <f t="shared" si="5"/>
        <v>80497.856533225233</v>
      </c>
      <c r="K40">
        <f t="shared" si="0"/>
        <v>78.884125629389402</v>
      </c>
      <c r="L40" s="2">
        <f t="shared" si="1"/>
        <v>35497.856533225233</v>
      </c>
    </row>
    <row r="41" spans="1:12" x14ac:dyDescent="0.25">
      <c r="A41" s="1">
        <v>45017</v>
      </c>
      <c r="B41">
        <v>22.22</v>
      </c>
      <c r="C41">
        <v>24.61</v>
      </c>
      <c r="D41">
        <v>19.96</v>
      </c>
      <c r="E41">
        <v>86.6</v>
      </c>
      <c r="F41">
        <v>460.42</v>
      </c>
      <c r="G41" s="2">
        <f t="shared" si="2"/>
        <v>56334.141041438183</v>
      </c>
      <c r="H41" s="2">
        <f t="shared" si="3"/>
        <v>17168.71424817395</v>
      </c>
      <c r="I41" s="2">
        <f t="shared" si="4"/>
        <v>8584.3571240869751</v>
      </c>
      <c r="J41" s="2">
        <f t="shared" si="5"/>
        <v>82087.212413699119</v>
      </c>
      <c r="K41">
        <f t="shared" si="0"/>
        <v>82.416027585998037</v>
      </c>
      <c r="L41" s="2">
        <f t="shared" si="1"/>
        <v>37087.212413699119</v>
      </c>
    </row>
    <row r="42" spans="1:12" x14ac:dyDescent="0.25">
      <c r="A42" s="1">
        <v>45047</v>
      </c>
      <c r="B42">
        <v>22.41</v>
      </c>
      <c r="C42">
        <v>24.82</v>
      </c>
      <c r="D42">
        <v>19.829999999999998</v>
      </c>
      <c r="E42">
        <v>76.91</v>
      </c>
      <c r="F42">
        <v>460.7</v>
      </c>
      <c r="G42" s="2">
        <f t="shared" si="2"/>
        <v>57489.460383963014</v>
      </c>
      <c r="H42" s="2">
        <f t="shared" si="3"/>
        <v>17486.621607002638</v>
      </c>
      <c r="I42" s="2">
        <f t="shared" si="4"/>
        <v>8743.3108035013192</v>
      </c>
      <c r="J42" s="2">
        <f t="shared" si="5"/>
        <v>83719.39279446697</v>
      </c>
      <c r="K42">
        <f t="shared" si="0"/>
        <v>86.043095098815485</v>
      </c>
      <c r="L42" s="2">
        <f t="shared" si="1"/>
        <v>38719.39279446697</v>
      </c>
    </row>
    <row r="43" spans="1:12" x14ac:dyDescent="0.25">
      <c r="A43" s="1">
        <v>45078</v>
      </c>
      <c r="B43">
        <v>22.79</v>
      </c>
      <c r="C43">
        <v>25.25</v>
      </c>
      <c r="D43">
        <v>20.059999999999999</v>
      </c>
      <c r="E43">
        <v>76.97</v>
      </c>
      <c r="F43">
        <v>607.75</v>
      </c>
      <c r="G43" s="2">
        <f t="shared" si="2"/>
        <v>58678.534056237986</v>
      </c>
      <c r="H43" s="2">
        <f t="shared" si="3"/>
        <v>17813.184265513413</v>
      </c>
      <c r="I43" s="2">
        <f t="shared" si="4"/>
        <v>8906.5921327567066</v>
      </c>
      <c r="J43" s="2">
        <f t="shared" si="5"/>
        <v>85398.310454508101</v>
      </c>
      <c r="K43">
        <f t="shared" si="0"/>
        <v>89.774023232240225</v>
      </c>
      <c r="L43" s="2">
        <f t="shared" si="1"/>
        <v>40398.310454508101</v>
      </c>
    </row>
    <row r="44" spans="1:12" x14ac:dyDescent="0.25">
      <c r="A44" s="1">
        <v>45108</v>
      </c>
      <c r="B44">
        <v>24.08</v>
      </c>
      <c r="C44">
        <v>26.98</v>
      </c>
      <c r="D44">
        <v>20.47</v>
      </c>
      <c r="E44">
        <v>82.27</v>
      </c>
      <c r="F44">
        <v>769.82</v>
      </c>
      <c r="G44" s="2">
        <f t="shared" si="2"/>
        <v>59913.228210337991</v>
      </c>
      <c r="H44" s="2">
        <f t="shared" si="3"/>
        <v>18151.486323355955</v>
      </c>
      <c r="I44" s="2">
        <f t="shared" si="4"/>
        <v>9075.7431616779777</v>
      </c>
      <c r="J44" s="2">
        <f t="shared" si="5"/>
        <v>87140.457695371922</v>
      </c>
      <c r="K44">
        <f t="shared" si="0"/>
        <v>93.645461545270933</v>
      </c>
      <c r="L44" s="2">
        <f t="shared" si="1"/>
        <v>42140.457695371922</v>
      </c>
    </row>
    <row r="45" spans="1:12" x14ac:dyDescent="0.25">
      <c r="A45" s="1">
        <v>45139</v>
      </c>
      <c r="B45">
        <v>25.8</v>
      </c>
      <c r="C45">
        <v>29.34</v>
      </c>
      <c r="D45">
        <v>21.15</v>
      </c>
      <c r="E45">
        <v>89.3</v>
      </c>
      <c r="F45">
        <v>761.62</v>
      </c>
      <c r="G45" s="2">
        <f t="shared" si="2"/>
        <v>61260.277291267092</v>
      </c>
      <c r="H45" s="2">
        <f t="shared" si="3"/>
        <v>18515.726148911297</v>
      </c>
      <c r="I45" s="2">
        <f t="shared" si="4"/>
        <v>9257.8630744556485</v>
      </c>
      <c r="J45" s="2">
        <f t="shared" si="5"/>
        <v>89033.866514634035</v>
      </c>
      <c r="K45">
        <f t="shared" si="0"/>
        <v>97.853036699186745</v>
      </c>
      <c r="L45" s="2">
        <f t="shared" si="1"/>
        <v>44033.866514634035</v>
      </c>
    </row>
    <row r="46" spans="1:12" x14ac:dyDescent="0.25">
      <c r="A46" s="1">
        <v>45170</v>
      </c>
      <c r="B46">
        <v>26.72</v>
      </c>
      <c r="C46">
        <v>30.64</v>
      </c>
      <c r="D46">
        <v>21.84</v>
      </c>
      <c r="E46">
        <v>98.16</v>
      </c>
      <c r="F46">
        <v>761.33</v>
      </c>
      <c r="G46" s="2">
        <f t="shared" si="2"/>
        <v>62758.09107103858</v>
      </c>
      <c r="H46" s="2">
        <f t="shared" si="3"/>
        <v>18913.81426111289</v>
      </c>
      <c r="I46" s="2">
        <f t="shared" si="4"/>
        <v>9456.9071305564448</v>
      </c>
      <c r="J46" s="2">
        <f t="shared" si="5"/>
        <v>91128.812462707909</v>
      </c>
      <c r="K46">
        <f t="shared" si="0"/>
        <v>102.5084721393509</v>
      </c>
      <c r="L46" s="2">
        <f t="shared" si="1"/>
        <v>46128.812462707909</v>
      </c>
    </row>
    <row r="47" spans="1:12" x14ac:dyDescent="0.25">
      <c r="A47" s="1">
        <v>45200</v>
      </c>
      <c r="B47">
        <v>27.33</v>
      </c>
      <c r="C47">
        <v>31.52</v>
      </c>
      <c r="D47">
        <v>22.58</v>
      </c>
      <c r="E47">
        <v>94.9</v>
      </c>
      <c r="F47">
        <v>796.44</v>
      </c>
      <c r="G47" s="2">
        <f t="shared" si="2"/>
        <v>64360.514329719103</v>
      </c>
      <c r="H47" s="2">
        <f t="shared" si="3"/>
        <v>19334.961858660336</v>
      </c>
      <c r="I47" s="2">
        <f t="shared" si="4"/>
        <v>9667.4809293301678</v>
      </c>
      <c r="J47" s="2">
        <f t="shared" si="5"/>
        <v>93362.957117709608</v>
      </c>
      <c r="K47">
        <f t="shared" si="0"/>
        <v>107.4732380393547</v>
      </c>
      <c r="L47" s="2">
        <f t="shared" si="1"/>
        <v>48362.957117709608</v>
      </c>
    </row>
    <row r="48" spans="1:12" x14ac:dyDescent="0.25">
      <c r="A48" s="1">
        <v>45231</v>
      </c>
      <c r="B48">
        <v>28.2</v>
      </c>
      <c r="C48">
        <v>32.840000000000003</v>
      </c>
      <c r="D48">
        <v>22.38</v>
      </c>
      <c r="E48">
        <v>85.76</v>
      </c>
      <c r="F48">
        <v>832.68</v>
      </c>
      <c r="G48" s="2">
        <f t="shared" si="2"/>
        <v>66051.050506113053</v>
      </c>
      <c r="H48" s="2">
        <f t="shared" si="3"/>
        <v>19775.315614991323</v>
      </c>
      <c r="I48" s="2">
        <f t="shared" si="4"/>
        <v>9887.6578074956615</v>
      </c>
      <c r="J48" s="2">
        <f t="shared" si="5"/>
        <v>95714.023928600043</v>
      </c>
      <c r="K48">
        <f t="shared" si="0"/>
        <v>112.69783095244455</v>
      </c>
      <c r="L48" s="2">
        <f t="shared" si="1"/>
        <v>50714.023928600043</v>
      </c>
    </row>
    <row r="49" spans="1:12" x14ac:dyDescent="0.25">
      <c r="A49" s="1">
        <v>45261</v>
      </c>
      <c r="B49">
        <v>28.92</v>
      </c>
      <c r="C49">
        <v>33.93</v>
      </c>
      <c r="D49">
        <v>23.06</v>
      </c>
      <c r="E49">
        <v>79.12</v>
      </c>
      <c r="F49">
        <v>898.9</v>
      </c>
      <c r="G49" s="2">
        <f t="shared" si="2"/>
        <v>67858.647588297026</v>
      </c>
      <c r="H49" s="2">
        <f t="shared" si="3"/>
        <v>20240.03553194362</v>
      </c>
      <c r="I49" s="2">
        <f t="shared" si="4"/>
        <v>10120.01776597181</v>
      </c>
      <c r="J49" s="2">
        <f t="shared" si="5"/>
        <v>98218.700886212464</v>
      </c>
      <c r="K49">
        <f t="shared" si="0"/>
        <v>118.26377974713881</v>
      </c>
      <c r="L49" s="2">
        <f t="shared" si="1"/>
        <v>53218.700886212464</v>
      </c>
    </row>
    <row r="50" spans="1:12" x14ac:dyDescent="0.25">
      <c r="A50" s="1">
        <v>45292</v>
      </c>
      <c r="B50">
        <v>29.9</v>
      </c>
      <c r="C50">
        <v>35.409999999999997</v>
      </c>
      <c r="D50">
        <v>23.59</v>
      </c>
      <c r="E50">
        <v>82.18</v>
      </c>
      <c r="F50">
        <v>941.26</v>
      </c>
      <c r="G50" s="2">
        <f t="shared" si="2"/>
        <v>69777.350848856135</v>
      </c>
      <c r="H50" s="2">
        <f t="shared" si="3"/>
        <v>20727.820388263463</v>
      </c>
      <c r="I50" s="2">
        <f t="shared" si="4"/>
        <v>10363.910194131731</v>
      </c>
      <c r="J50" s="2">
        <f t="shared" si="5"/>
        <v>100869.08143125132</v>
      </c>
      <c r="K50">
        <f t="shared" si="0"/>
        <v>124.15351429166961</v>
      </c>
      <c r="L50" s="2">
        <f t="shared" si="1"/>
        <v>55869.081431251325</v>
      </c>
    </row>
    <row r="51" spans="1:12" x14ac:dyDescent="0.25">
      <c r="A51" s="1">
        <v>45323</v>
      </c>
      <c r="B51">
        <v>31.7</v>
      </c>
      <c r="C51">
        <v>37.92</v>
      </c>
      <c r="D51">
        <v>25.13</v>
      </c>
      <c r="E51">
        <v>86.08</v>
      </c>
      <c r="F51">
        <v>1504.82</v>
      </c>
      <c r="G51" s="2">
        <f t="shared" si="2"/>
        <v>71836.364176821124</v>
      </c>
      <c r="H51" s="2">
        <f t="shared" si="3"/>
        <v>21244.288579604363</v>
      </c>
      <c r="I51" s="2">
        <f t="shared" si="4"/>
        <v>10622.144289802181</v>
      </c>
      <c r="J51" s="2">
        <f t="shared" si="5"/>
        <v>103702.79704622767</v>
      </c>
      <c r="K51">
        <f t="shared" si="0"/>
        <v>130.45066010272816</v>
      </c>
      <c r="L51" s="2">
        <f t="shared" si="1"/>
        <v>58702.797046227672</v>
      </c>
    </row>
    <row r="52" spans="1:12" x14ac:dyDescent="0.25">
      <c r="A52" s="1">
        <v>45352</v>
      </c>
      <c r="B52">
        <v>33.200000000000003</v>
      </c>
      <c r="C52">
        <v>40.01</v>
      </c>
      <c r="D52">
        <v>25.9</v>
      </c>
      <c r="E52">
        <v>88.8</v>
      </c>
      <c r="F52">
        <v>1510.84</v>
      </c>
      <c r="G52" s="2">
        <f t="shared" si="2"/>
        <v>74106.39328480867</v>
      </c>
      <c r="H52" s="2">
        <f t="shared" si="3"/>
        <v>21805.491869582245</v>
      </c>
      <c r="I52" s="2">
        <f t="shared" si="4"/>
        <v>10902.745934791123</v>
      </c>
      <c r="J52" s="2">
        <f t="shared" si="5"/>
        <v>106814.63108918203</v>
      </c>
      <c r="K52">
        <f t="shared" si="0"/>
        <v>137.36584686484895</v>
      </c>
      <c r="L52" s="2">
        <f t="shared" si="1"/>
        <v>61814.631089182032</v>
      </c>
    </row>
    <row r="53" spans="1:12" x14ac:dyDescent="0.25">
      <c r="A53" s="1">
        <v>45383</v>
      </c>
      <c r="B53">
        <v>33.69</v>
      </c>
      <c r="C53">
        <v>40.53</v>
      </c>
      <c r="D53">
        <v>26.84</v>
      </c>
      <c r="E53">
        <v>93.12</v>
      </c>
      <c r="F53">
        <v>1236.56</v>
      </c>
      <c r="G53" s="2">
        <f t="shared" si="2"/>
        <v>76577.223947579667</v>
      </c>
      <c r="H53" s="2">
        <f t="shared" si="3"/>
        <v>22408.777144640688</v>
      </c>
      <c r="I53" s="2">
        <f t="shared" si="4"/>
        <v>11204.388572320344</v>
      </c>
      <c r="J53" s="2">
        <f t="shared" si="5"/>
        <v>110190.38966454069</v>
      </c>
      <c r="K53">
        <f t="shared" si="0"/>
        <v>144.8675325878682</v>
      </c>
      <c r="L53" s="2">
        <f t="shared" si="1"/>
        <v>65190.389664540693</v>
      </c>
    </row>
    <row r="54" spans="1:12" x14ac:dyDescent="0.25">
      <c r="A54" s="1">
        <v>45413</v>
      </c>
      <c r="B54">
        <v>33.950000000000003</v>
      </c>
      <c r="C54">
        <v>40.659999999999997</v>
      </c>
      <c r="D54">
        <v>27.04</v>
      </c>
      <c r="E54">
        <v>84.01</v>
      </c>
      <c r="F54">
        <v>1435.57</v>
      </c>
      <c r="G54" s="2">
        <f t="shared" si="2"/>
        <v>79163.619686409162</v>
      </c>
      <c r="H54" s="2">
        <f t="shared" si="3"/>
        <v>23037.903562976477</v>
      </c>
      <c r="I54" s="2">
        <f t="shared" si="4"/>
        <v>11518.951781488238</v>
      </c>
      <c r="J54" s="2">
        <f t="shared" si="5"/>
        <v>113720.47503087389</v>
      </c>
      <c r="K54">
        <f t="shared" si="0"/>
        <v>152.7121667352753</v>
      </c>
      <c r="L54" s="2">
        <f t="shared" si="1"/>
        <v>68720.475030873888</v>
      </c>
    </row>
    <row r="55" spans="1:12" x14ac:dyDescent="0.25">
      <c r="A55" s="1">
        <v>45444</v>
      </c>
      <c r="B55">
        <v>34.19</v>
      </c>
      <c r="C55">
        <v>40.869999999999997</v>
      </c>
      <c r="D55">
        <v>27.4</v>
      </c>
      <c r="E55">
        <v>83.64</v>
      </c>
      <c r="F55">
        <v>1481.77</v>
      </c>
      <c r="G55" s="2">
        <f t="shared" si="2"/>
        <v>81845.947000116983</v>
      </c>
      <c r="H55" s="2">
        <f t="shared" si="3"/>
        <v>23689.684251279017</v>
      </c>
      <c r="I55" s="2">
        <f t="shared" si="4"/>
        <v>11844.842125639509</v>
      </c>
      <c r="J55" s="2">
        <f t="shared" si="5"/>
        <v>117380.47337703551</v>
      </c>
      <c r="K55">
        <f t="shared" si="0"/>
        <v>160.84549639341225</v>
      </c>
      <c r="L55" s="2">
        <f t="shared" si="1"/>
        <v>72380.473377035509</v>
      </c>
    </row>
    <row r="56" spans="1:12" x14ac:dyDescent="0.25">
      <c r="A56" s="1">
        <v>45474</v>
      </c>
      <c r="B56">
        <v>33.4</v>
      </c>
      <c r="C56">
        <v>39.53</v>
      </c>
      <c r="D56">
        <v>27.47</v>
      </c>
      <c r="E56">
        <v>87.28</v>
      </c>
      <c r="F56">
        <v>1557.57</v>
      </c>
      <c r="G56" s="2">
        <f t="shared" si="2"/>
        <v>84633.483545029303</v>
      </c>
      <c r="H56" s="2">
        <f t="shared" si="3"/>
        <v>24364.642838405041</v>
      </c>
      <c r="I56" s="2">
        <f t="shared" si="4"/>
        <v>12182.321419202521</v>
      </c>
      <c r="J56" s="2">
        <f t="shared" si="5"/>
        <v>121180.44780263686</v>
      </c>
      <c r="K56">
        <f t="shared" si="0"/>
        <v>169.2898840058597</v>
      </c>
      <c r="L56" s="2">
        <f t="shared" si="1"/>
        <v>76180.44780263686</v>
      </c>
    </row>
    <row r="57" spans="1:12" x14ac:dyDescent="0.25">
      <c r="A57" s="1">
        <v>45505</v>
      </c>
      <c r="B57">
        <v>32.15</v>
      </c>
      <c r="C57">
        <v>37.520000000000003</v>
      </c>
      <c r="D57">
        <v>27.58</v>
      </c>
      <c r="E57">
        <v>82.88</v>
      </c>
      <c r="F57">
        <v>1586.94</v>
      </c>
      <c r="G57" s="2">
        <f t="shared" si="2"/>
        <v>87421.451548808473</v>
      </c>
      <c r="H57" s="2">
        <f t="shared" si="3"/>
        <v>25042.792064073983</v>
      </c>
      <c r="I57" s="2">
        <f t="shared" si="4"/>
        <v>12521.396032036992</v>
      </c>
      <c r="J57" s="2">
        <f t="shared" si="5"/>
        <v>124985.63964491944</v>
      </c>
      <c r="K57">
        <f t="shared" si="0"/>
        <v>177.74586587759876</v>
      </c>
      <c r="L57" s="2">
        <f t="shared" si="1"/>
        <v>79985.639644919444</v>
      </c>
    </row>
    <row r="58" spans="1:12" x14ac:dyDescent="0.25">
      <c r="A58" s="1">
        <v>45536</v>
      </c>
      <c r="B58">
        <v>32.700000000000003</v>
      </c>
      <c r="C58">
        <v>37.770000000000003</v>
      </c>
      <c r="D58">
        <v>27.43</v>
      </c>
      <c r="E58">
        <v>76.05</v>
      </c>
      <c r="F58">
        <v>1617.72</v>
      </c>
      <c r="G58" s="2">
        <f t="shared" si="2"/>
        <v>90154.828933901226</v>
      </c>
      <c r="H58" s="2">
        <f t="shared" si="3"/>
        <v>25713.7302014573</v>
      </c>
      <c r="I58" s="2">
        <f t="shared" si="4"/>
        <v>12856.86510072865</v>
      </c>
      <c r="J58" s="2">
        <f t="shared" si="5"/>
        <v>128725.42423608717</v>
      </c>
      <c r="K58">
        <f t="shared" si="0"/>
        <v>186.05649830241592</v>
      </c>
      <c r="L58" s="2">
        <f t="shared" si="1"/>
        <v>83725.424236087172</v>
      </c>
    </row>
    <row r="59" spans="1:12" x14ac:dyDescent="0.25">
      <c r="A59" s="1">
        <v>45566</v>
      </c>
      <c r="B59">
        <v>33.880000000000003</v>
      </c>
      <c r="C59">
        <v>39.159999999999997</v>
      </c>
      <c r="D59">
        <v>28.37</v>
      </c>
      <c r="E59">
        <v>76.69</v>
      </c>
      <c r="F59">
        <v>1640.66</v>
      </c>
      <c r="G59" s="2">
        <f t="shared" si="2"/>
        <v>92992.452174595761</v>
      </c>
      <c r="H59" s="2">
        <f t="shared" si="3"/>
        <v>26414.429349447011</v>
      </c>
      <c r="I59" s="2">
        <f t="shared" si="4"/>
        <v>13207.214674723506</v>
      </c>
      <c r="J59" s="2">
        <f t="shared" si="5"/>
        <v>132614.09619876629</v>
      </c>
      <c r="K59">
        <f t="shared" si="0"/>
        <v>194.69799155281399</v>
      </c>
      <c r="L59" s="2">
        <f t="shared" si="1"/>
        <v>87614.096198766289</v>
      </c>
    </row>
    <row r="60" spans="1:12" x14ac:dyDescent="0.25">
      <c r="A60" s="1">
        <v>45597</v>
      </c>
      <c r="B60">
        <v>34.6</v>
      </c>
      <c r="C60">
        <v>39.93</v>
      </c>
      <c r="D60">
        <v>28.75</v>
      </c>
      <c r="E60">
        <v>75.44</v>
      </c>
      <c r="F60">
        <v>1670.28</v>
      </c>
      <c r="G60" s="2">
        <f t="shared" si="2"/>
        <v>96027.105863893405</v>
      </c>
      <c r="H60" s="2">
        <f t="shared" si="3"/>
        <v>27160.196738079732</v>
      </c>
      <c r="I60" s="2">
        <f t="shared" si="4"/>
        <v>13580.098369039866</v>
      </c>
      <c r="J60" s="2">
        <f t="shared" si="5"/>
        <v>136767.400971013</v>
      </c>
      <c r="K60">
        <f t="shared" si="0"/>
        <v>203.92755771336221</v>
      </c>
      <c r="L60" s="2">
        <f t="shared" si="1"/>
        <v>91767.400971013005</v>
      </c>
    </row>
    <row r="61" spans="1:12" x14ac:dyDescent="0.25">
      <c r="A61" s="1">
        <v>45627</v>
      </c>
      <c r="B61">
        <v>34.799999999999997</v>
      </c>
      <c r="C61">
        <v>39.840000000000003</v>
      </c>
      <c r="D61">
        <v>29.28</v>
      </c>
      <c r="E61">
        <v>74.72</v>
      </c>
      <c r="F61">
        <v>1553.26</v>
      </c>
      <c r="G61" s="2">
        <f t="shared" si="2"/>
        <v>99222.407811514451</v>
      </c>
      <c r="H61" s="2">
        <f t="shared" si="3"/>
        <v>27943.315744027695</v>
      </c>
      <c r="I61" s="2">
        <f t="shared" si="4"/>
        <v>13971.657872013848</v>
      </c>
      <c r="J61" s="2">
        <f t="shared" si="5"/>
        <v>141137.38142755599</v>
      </c>
      <c r="K61">
        <f t="shared" si="0"/>
        <v>213.63862539456883</v>
      </c>
      <c r="L61" s="2">
        <f t="shared" si="1"/>
        <v>96137.381427555985</v>
      </c>
    </row>
    <row r="62" spans="1:12" x14ac:dyDescent="0.25">
      <c r="A62" s="1">
        <v>45658</v>
      </c>
      <c r="B62">
        <v>27.61</v>
      </c>
      <c r="C62">
        <v>29.63</v>
      </c>
      <c r="D62">
        <v>25.27</v>
      </c>
      <c r="E62">
        <v>80.760000000000005</v>
      </c>
      <c r="F62">
        <v>1535.45</v>
      </c>
      <c r="G62" s="2">
        <f t="shared" si="2"/>
        <v>102516.59175085672</v>
      </c>
      <c r="H62" s="2">
        <f t="shared" si="3"/>
        <v>28753.671900604495</v>
      </c>
      <c r="I62" s="2">
        <f t="shared" si="4"/>
        <v>14376.835950302248</v>
      </c>
      <c r="J62" s="2">
        <f t="shared" si="5"/>
        <v>145647.09960176348</v>
      </c>
      <c r="K62">
        <f t="shared" si="0"/>
        <v>223.66022133725218</v>
      </c>
      <c r="L62" s="2">
        <f t="shared" si="1"/>
        <v>100647.09960176348</v>
      </c>
    </row>
    <row r="63" spans="1:12" x14ac:dyDescent="0.25">
      <c r="A63" s="1">
        <v>45689</v>
      </c>
      <c r="B63">
        <v>26.27</v>
      </c>
      <c r="C63">
        <v>26.98</v>
      </c>
      <c r="D63">
        <v>25.66</v>
      </c>
      <c r="E63">
        <v>77.08</v>
      </c>
      <c r="F63">
        <v>1500.47</v>
      </c>
      <c r="G63" s="2">
        <f t="shared" si="2"/>
        <v>105047.89726217161</v>
      </c>
      <c r="H63" s="2">
        <f t="shared" si="3"/>
        <v>29415.245968250903</v>
      </c>
      <c r="I63" s="2">
        <f t="shared" si="4"/>
        <v>14707.622984125452</v>
      </c>
      <c r="J63" s="2">
        <f t="shared" si="5"/>
        <v>149170.76621454797</v>
      </c>
      <c r="K63">
        <f t="shared" si="0"/>
        <v>231.49059158788438</v>
      </c>
      <c r="L63" s="2">
        <f t="shared" si="1"/>
        <v>104170.76621454797</v>
      </c>
    </row>
    <row r="64" spans="1:12" x14ac:dyDescent="0.25">
      <c r="A64" s="1">
        <v>45717</v>
      </c>
      <c r="B64">
        <v>27.35</v>
      </c>
      <c r="C64">
        <v>25.22</v>
      </c>
      <c r="D64">
        <v>27.12</v>
      </c>
      <c r="E64">
        <v>74.44</v>
      </c>
      <c r="F64">
        <v>1525.87</v>
      </c>
      <c r="G64" s="2">
        <f t="shared" si="2"/>
        <v>107409.72415228278</v>
      </c>
      <c r="H64" s="2">
        <f t="shared" si="3"/>
        <v>30059.194727905862</v>
      </c>
      <c r="I64" s="2">
        <f t="shared" si="4"/>
        <v>15029.597363952931</v>
      </c>
      <c r="J64" s="2">
        <f t="shared" si="5"/>
        <v>152498.51624414156</v>
      </c>
      <c r="K64">
        <f t="shared" si="0"/>
        <v>238.88559165364791</v>
      </c>
      <c r="L64" s="2">
        <f t="shared" si="1"/>
        <v>107498.51624414156</v>
      </c>
    </row>
    <row r="65" spans="1:12" x14ac:dyDescent="0.25">
      <c r="A65" s="1">
        <v>45748</v>
      </c>
      <c r="B65">
        <v>26.82</v>
      </c>
      <c r="C65">
        <v>24.68</v>
      </c>
      <c r="D65">
        <v>26.05</v>
      </c>
      <c r="E65">
        <v>69.069999999999993</v>
      </c>
      <c r="F65">
        <v>1594.55</v>
      </c>
      <c r="G65" s="2">
        <f t="shared" si="2"/>
        <v>109667.11852154993</v>
      </c>
      <c r="H65" s="2">
        <f t="shared" si="3"/>
        <v>30744.29387441272</v>
      </c>
      <c r="I65" s="2">
        <f t="shared" si="4"/>
        <v>15372.14693720636</v>
      </c>
      <c r="J65" s="2">
        <f t="shared" si="5"/>
        <v>155783.55933316902</v>
      </c>
      <c r="K65">
        <f t="shared" si="0"/>
        <v>246.18568740704228</v>
      </c>
      <c r="L65" s="2">
        <f t="shared" si="1"/>
        <v>110783.55933316902</v>
      </c>
    </row>
    <row r="66" spans="1:12" x14ac:dyDescent="0.25">
      <c r="A66" s="1">
        <v>45778</v>
      </c>
      <c r="B66">
        <v>26.06</v>
      </c>
      <c r="C66">
        <v>24.55</v>
      </c>
      <c r="D66">
        <v>24.92</v>
      </c>
      <c r="E66">
        <v>65.900000000000006</v>
      </c>
      <c r="F66">
        <v>1594.7</v>
      </c>
      <c r="G66" s="2">
        <f t="shared" si="2"/>
        <v>111922.60559247647</v>
      </c>
      <c r="H66" s="2">
        <f t="shared" si="3"/>
        <v>31431.428842505848</v>
      </c>
      <c r="I66" s="2">
        <f t="shared" si="4"/>
        <v>15715.714421252924</v>
      </c>
      <c r="J66" s="2">
        <f t="shared" si="5"/>
        <v>159069.74885623524</v>
      </c>
      <c r="K66">
        <f t="shared" si="0"/>
        <v>253.48833079163384</v>
      </c>
      <c r="L66" s="2">
        <f t="shared" si="1"/>
        <v>114069.74885623524</v>
      </c>
    </row>
    <row r="67" spans="1:12" x14ac:dyDescent="0.25">
      <c r="A67" s="1">
        <v>45809</v>
      </c>
      <c r="B67">
        <v>26.06</v>
      </c>
      <c r="C67">
        <v>24.55</v>
      </c>
      <c r="D67">
        <v>24.92</v>
      </c>
      <c r="E67">
        <v>73.5</v>
      </c>
      <c r="F67">
        <v>1549.3</v>
      </c>
      <c r="G67" s="2">
        <f t="shared" si="2"/>
        <v>114212.35556522253</v>
      </c>
      <c r="H67" s="2">
        <f t="shared" si="3"/>
        <v>32114.014705535599</v>
      </c>
      <c r="I67" s="2">
        <f t="shared" si="4"/>
        <v>16057.0073527678</v>
      </c>
      <c r="J67" s="2">
        <f t="shared" si="5"/>
        <v>162383.37762352594</v>
      </c>
      <c r="K67">
        <f t="shared" ref="K67:K73" si="6">(J67-45000)/45000*100</f>
        <v>260.85195027450209</v>
      </c>
      <c r="L67" s="2">
        <f t="shared" ref="L67:L73" si="7">J67-45000</f>
        <v>117383.37762352594</v>
      </c>
    </row>
    <row r="68" spans="1:12" x14ac:dyDescent="0.25">
      <c r="A68" s="1">
        <v>45839</v>
      </c>
      <c r="B68">
        <v>24.94</v>
      </c>
      <c r="C68">
        <v>26.2</v>
      </c>
      <c r="D68">
        <v>23.95</v>
      </c>
      <c r="E68">
        <v>73.180000000000007</v>
      </c>
      <c r="F68">
        <v>1529.85</v>
      </c>
      <c r="G68" s="2">
        <f t="shared" ref="G68:G73" si="8">G67*(1+(C67/100/12))</f>
        <v>116548.95000616103</v>
      </c>
      <c r="H68" s="2">
        <f t="shared" ref="H68:H73" si="9">H67*(1+(B67/100/12))</f>
        <v>32811.424058224147</v>
      </c>
      <c r="I68" s="2">
        <f t="shared" ref="I68:I73" si="10">I67*(1+(B67/100/12))</f>
        <v>16405.712029112074</v>
      </c>
      <c r="J68" s="2">
        <f t="shared" ref="J68:J73" si="11">SUM(G68:I68)</f>
        <v>165766.08609349726</v>
      </c>
      <c r="K68">
        <f t="shared" si="6"/>
        <v>268.36908020777173</v>
      </c>
      <c r="L68" s="2">
        <f t="shared" si="7"/>
        <v>120766.08609349726</v>
      </c>
    </row>
    <row r="69" spans="1:12" x14ac:dyDescent="0.25">
      <c r="A69" s="1">
        <v>45870</v>
      </c>
      <c r="B69">
        <v>23.14</v>
      </c>
      <c r="C69">
        <v>25.3</v>
      </c>
      <c r="D69">
        <v>22.93</v>
      </c>
      <c r="E69">
        <v>70.55</v>
      </c>
      <c r="F69">
        <v>1534.25</v>
      </c>
      <c r="G69" s="2">
        <f t="shared" si="8"/>
        <v>119093.60208129555</v>
      </c>
      <c r="H69" s="2">
        <f t="shared" si="9"/>
        <v>33493.354821567576</v>
      </c>
      <c r="I69" s="2">
        <f t="shared" si="10"/>
        <v>16746.677410783788</v>
      </c>
      <c r="J69" s="2">
        <f t="shared" si="11"/>
        <v>169333.63431364694</v>
      </c>
      <c r="K69">
        <f t="shared" si="6"/>
        <v>276.29696514143762</v>
      </c>
      <c r="L69" s="2">
        <f t="shared" si="7"/>
        <v>124333.63431364694</v>
      </c>
    </row>
    <row r="70" spans="1:12" x14ac:dyDescent="0.25">
      <c r="A70" s="1">
        <v>45901</v>
      </c>
      <c r="B70">
        <v>20.98</v>
      </c>
      <c r="C70">
        <v>20.16</v>
      </c>
      <c r="D70">
        <v>22.11</v>
      </c>
      <c r="E70">
        <v>70.2</v>
      </c>
      <c r="F70">
        <v>1497.29</v>
      </c>
      <c r="G70" s="2">
        <f t="shared" si="8"/>
        <v>121604.49219184287</v>
      </c>
      <c r="H70" s="2">
        <f t="shared" si="9"/>
        <v>34139.218347043468</v>
      </c>
      <c r="I70" s="2">
        <f t="shared" si="10"/>
        <v>17069.609173521734</v>
      </c>
      <c r="J70" s="2">
        <f t="shared" si="11"/>
        <v>172813.31971240806</v>
      </c>
      <c r="K70">
        <f t="shared" si="6"/>
        <v>284.02959936090679</v>
      </c>
      <c r="L70" s="2">
        <f t="shared" si="7"/>
        <v>127813.31971240806</v>
      </c>
    </row>
    <row r="71" spans="1:12" x14ac:dyDescent="0.25">
      <c r="A71" s="1">
        <v>45931</v>
      </c>
      <c r="B71">
        <v>18.97</v>
      </c>
      <c r="C71">
        <v>16.3</v>
      </c>
      <c r="D71">
        <v>21.25</v>
      </c>
      <c r="E71">
        <v>66.150000000000006</v>
      </c>
      <c r="F71">
        <v>1459.04</v>
      </c>
      <c r="G71" s="2">
        <f t="shared" si="8"/>
        <v>123647.44766066583</v>
      </c>
      <c r="H71" s="2">
        <f t="shared" si="9"/>
        <v>34736.085681144279</v>
      </c>
      <c r="I71" s="2">
        <f t="shared" si="10"/>
        <v>17368.04284057214</v>
      </c>
      <c r="J71" s="2">
        <f t="shared" si="11"/>
        <v>175751.57618238224</v>
      </c>
      <c r="K71">
        <f t="shared" si="6"/>
        <v>290.55905818307167</v>
      </c>
      <c r="L71" s="2">
        <f t="shared" si="7"/>
        <v>130751.57618238224</v>
      </c>
    </row>
    <row r="72" spans="1:12" x14ac:dyDescent="0.25">
      <c r="A72" s="1">
        <v>45962</v>
      </c>
      <c r="B72">
        <v>17.329999999999998</v>
      </c>
      <c r="C72">
        <v>14.21</v>
      </c>
      <c r="D72">
        <v>20.59</v>
      </c>
      <c r="E72">
        <v>65.22</v>
      </c>
      <c r="F72">
        <v>1443.35</v>
      </c>
      <c r="G72" s="2">
        <f t="shared" si="8"/>
        <v>125326.99215805653</v>
      </c>
      <c r="H72" s="2">
        <f t="shared" si="9"/>
        <v>35285.205302287039</v>
      </c>
      <c r="I72" s="2">
        <f t="shared" si="10"/>
        <v>17642.602651143519</v>
      </c>
      <c r="J72" s="2">
        <f t="shared" si="11"/>
        <v>178254.8001114871</v>
      </c>
      <c r="K72">
        <f t="shared" si="6"/>
        <v>296.12177802552691</v>
      </c>
      <c r="L72" s="2">
        <f t="shared" si="7"/>
        <v>133254.8001114871</v>
      </c>
    </row>
    <row r="73" spans="1:12" x14ac:dyDescent="0.25">
      <c r="A73" s="1">
        <v>45992</v>
      </c>
      <c r="B73">
        <v>15.15</v>
      </c>
      <c r="C73">
        <v>10.84</v>
      </c>
      <c r="D73">
        <v>18.63</v>
      </c>
      <c r="E73">
        <v>64.09</v>
      </c>
      <c r="F73">
        <v>1450.35</v>
      </c>
      <c r="G73" s="2">
        <f t="shared" si="8"/>
        <v>126811.07262352819</v>
      </c>
      <c r="H73" s="2">
        <f t="shared" si="9"/>
        <v>35794.782475527565</v>
      </c>
      <c r="I73" s="2">
        <f t="shared" si="10"/>
        <v>17897.391237763783</v>
      </c>
      <c r="J73" s="2">
        <f t="shared" si="11"/>
        <v>180503.24633681952</v>
      </c>
      <c r="K73">
        <f t="shared" si="6"/>
        <v>301.11832519293228</v>
      </c>
      <c r="L73" s="2">
        <f t="shared" si="7"/>
        <v>135503.24633681952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Adaora Ewuzie</dc:creator>
  <cp:lastModifiedBy>Adaora Ewuzie</cp:lastModifiedBy>
  <dcterms:created xsi:type="dcterms:W3CDTF">2026-03-27T08:39:34Z</dcterms:created>
  <dcterms:modified xsi:type="dcterms:W3CDTF">2026-03-29T10:43:43Z</dcterms:modified>
</cp:coreProperties>
</file>